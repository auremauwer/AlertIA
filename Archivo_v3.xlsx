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ure/Documents/Experimentación IA/AlertIA/"/>
    </mc:Choice>
  </mc:AlternateContent>
  <xr:revisionPtr revIDLastSave="0" documentId="13_ncr:1_{F5EBDE1E-2A99-E341-879F-9ED485A8A842}" xr6:coauthVersionLast="47" xr6:coauthVersionMax="47" xr10:uidLastSave="{00000000-0000-0000-0000-000000000000}"/>
  <bookViews>
    <workbookView xWindow="-38400" yWindow="-17460" windowWidth="38400" windowHeight="20980" xr2:uid="{00000000-000D-0000-FFFF-FFFF00000000}"/>
  </bookViews>
  <sheets>
    <sheet name="Matriz" sheetId="1" r:id="rId1"/>
    <sheet name="Config" sheetId="2" r:id="rId2"/>
    <sheet name="Catalo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D15" i="2"/>
  <c r="F15" i="2" s="1"/>
  <c r="C15" i="2"/>
  <c r="E15" i="2" s="1"/>
  <c r="F14" i="2"/>
  <c r="D14" i="2"/>
  <c r="C14" i="2"/>
  <c r="E14" i="2" s="1"/>
  <c r="F13" i="2"/>
  <c r="D13" i="2"/>
  <c r="C13" i="2"/>
  <c r="E13" i="2" s="1"/>
  <c r="D12" i="2"/>
  <c r="F12" i="2" s="1"/>
  <c r="C12" i="2"/>
  <c r="E12" i="2" s="1"/>
  <c r="D11" i="2"/>
  <c r="F11" i="2" s="1"/>
  <c r="C11" i="2"/>
  <c r="E11" i="2" s="1"/>
  <c r="D10" i="2"/>
  <c r="F10" i="2" s="1"/>
  <c r="C10" i="2"/>
  <c r="E10" i="2" s="1"/>
  <c r="D9" i="2"/>
  <c r="F9" i="2" s="1"/>
  <c r="C9" i="2"/>
  <c r="E9" i="2" s="1"/>
  <c r="D8" i="2"/>
  <c r="F8" i="2" s="1"/>
  <c r="C8" i="2"/>
  <c r="E8" i="2" s="1"/>
  <c r="D7" i="2"/>
  <c r="F7" i="2" s="1"/>
  <c r="C7" i="2"/>
  <c r="E7" i="2" s="1"/>
  <c r="D6" i="2"/>
  <c r="F6" i="2" s="1"/>
  <c r="C6" i="2"/>
  <c r="E6" i="2" s="1"/>
  <c r="D5" i="2"/>
  <c r="F5" i="2" s="1"/>
  <c r="C5" i="2"/>
  <c r="E5" i="2" s="1"/>
  <c r="F4" i="2"/>
  <c r="E4" i="2"/>
  <c r="D4" i="2"/>
  <c r="C4" i="2"/>
</calcChain>
</file>

<file path=xl/sharedStrings.xml><?xml version="1.0" encoding="utf-8"?>
<sst xmlns="http://schemas.openxmlformats.org/spreadsheetml/2006/main" count="403" uniqueCount="214">
  <si>
    <t>Matriz de obligaciones (plantilla con lógica de fechas)</t>
  </si>
  <si>
    <t>Edita Año calendario en Config. En cada obligación, define Plazo de entrega y Mes de entrega (1-12). La fecha límite y los días para vencer se calculan automáticamente.</t>
  </si>
  <si>
    <t>Disposición resumida</t>
  </si>
  <si>
    <t>Órgano / Regulador</t>
  </si>
  <si>
    <t>Disposición aplicable</t>
  </si>
  <si>
    <t>Tema</t>
  </si>
  <si>
    <t>Artículo</t>
  </si>
  <si>
    <t>Requerimiento</t>
  </si>
  <si>
    <t>Área Responsable</t>
  </si>
  <si>
    <t>Consejo de Admón</t>
  </si>
  <si>
    <t>Aprobación del Comité</t>
  </si>
  <si>
    <t>Director General</t>
  </si>
  <si>
    <t>Página de Internet</t>
  </si>
  <si>
    <t>Órgano / Regulador al que se envía</t>
  </si>
  <si>
    <t>Periodicidad</t>
  </si>
  <si>
    <t>Plazo de entrega</t>
  </si>
  <si>
    <t>Fecha límite de entrega</t>
  </si>
  <si>
    <t>Fechas próximas de entrega</t>
  </si>
  <si>
    <t>Días para vencer</t>
  </si>
  <si>
    <t>Notas</t>
  </si>
  <si>
    <t>Condusef: Materia de Transparencia</t>
  </si>
  <si>
    <t>CNBV / CONDUSEF</t>
  </si>
  <si>
    <t>Disposición aplicable (ejemplo 1)</t>
  </si>
  <si>
    <t>Autorización de la CNBV sobre las acciones de verificación</t>
  </si>
  <si>
    <t>60a</t>
  </si>
  <si>
    <t>Requerimiento (ejemplo 1)</t>
  </si>
  <si>
    <t>Auditoría Interna / Director general</t>
  </si>
  <si>
    <t>No</t>
  </si>
  <si>
    <t>N/A</t>
  </si>
  <si>
    <t>Sí</t>
  </si>
  <si>
    <t>IPAB</t>
  </si>
  <si>
    <t>Eventual</t>
  </si>
  <si>
    <t>15 días hábiles siguientes a que se encuentren en dicho supuesto</t>
  </si>
  <si>
    <t>MF</t>
  </si>
  <si>
    <t>CNBV / Banxico</t>
  </si>
  <si>
    <t>Disposición aplicable (ejemplo 2)</t>
  </si>
  <si>
    <t>Almacenamiento, procesamiento y manejo de información</t>
  </si>
  <si>
    <t>81 Bis</t>
  </si>
  <si>
    <t>Requerimiento (ejemplo 2)</t>
  </si>
  <si>
    <t>Cumplimiento Normativo</t>
  </si>
  <si>
    <t>UAIR</t>
  </si>
  <si>
    <t>CNBV (Beneficencia pública)</t>
  </si>
  <si>
    <t>20 días hábiles a partir de que la institución reciba la notificación</t>
  </si>
  <si>
    <t>RFPDPPP</t>
  </si>
  <si>
    <t>Disposición aplicable (ejemplo 3)</t>
  </si>
  <si>
    <t>Aprobar y verificar los resultados de la evaluación cualitativa y cuantitativa (refutación presunción de deterioro)</t>
  </si>
  <si>
    <t>Requerimiento (ejemplo 3)</t>
  </si>
  <si>
    <t>Comité de Comunicación y Control / Comité de Administración Integral de Riesgos / Consejo de Administración</t>
  </si>
  <si>
    <t>Banxico</t>
  </si>
  <si>
    <t>Mensual</t>
  </si>
  <si>
    <t>2 días naturales siguientes a su aprobación</t>
  </si>
  <si>
    <t>CUAE</t>
  </si>
  <si>
    <t>Disposición aplicable (ejemplo 4)</t>
  </si>
  <si>
    <t>Acreditación de la modificación al contrato de Adhesión</t>
  </si>
  <si>
    <t>64 y Anexo 1</t>
  </si>
  <si>
    <t>Requerimiento (ejemplo 4)</t>
  </si>
  <si>
    <t>Auditoría Externa</t>
  </si>
  <si>
    <t>Consejo de Administración</t>
  </si>
  <si>
    <t>CNBV / Banxico / CONDUSEF</t>
  </si>
  <si>
    <t>15 días hábiles siguientes a la contratación del despacho</t>
  </si>
  <si>
    <t>Materia de cláusulas abusivas en contratos de adhesión</t>
  </si>
  <si>
    <t>SHCP</t>
  </si>
  <si>
    <t>Disposición aplicable (ejemplo 5)</t>
  </si>
  <si>
    <t>Actividades del comité de auditoría</t>
  </si>
  <si>
    <t>Art 233</t>
  </si>
  <si>
    <t>Requerimiento (ejemplo 5)</t>
  </si>
  <si>
    <t>Cumplimiento Normativo / Legal</t>
  </si>
  <si>
    <t>Auditoría</t>
  </si>
  <si>
    <t>Anual</t>
  </si>
  <si>
    <t>LPDUSF</t>
  </si>
  <si>
    <t>Disposición aplicable (ejemplo 6)</t>
  </si>
  <si>
    <t>Análisis de causas de la Contingencia Operativa</t>
  </si>
  <si>
    <t>67 y Anexo 3</t>
  </si>
  <si>
    <t>Requerimiento (ejemplo 6)</t>
  </si>
  <si>
    <t>Finanzas / Legal</t>
  </si>
  <si>
    <t>Comité Auditoría/Comité de Riesgos</t>
  </si>
  <si>
    <t>CNBV / CONDUSEF / IPAB</t>
  </si>
  <si>
    <t>20 días hábiles a partir de la fecha en que la institución recibió la notificación (Art 233)</t>
  </si>
  <si>
    <t>LRITF</t>
  </si>
  <si>
    <t>Condusef</t>
  </si>
  <si>
    <t>Disposición aplicable (ejemplo 7)</t>
  </si>
  <si>
    <t>Requerimiento (ejemplo 7)</t>
  </si>
  <si>
    <t>15 días naturales del mes de enero de cada año (Enero)</t>
  </si>
  <si>
    <t>Materia Registros Condusef</t>
  </si>
  <si>
    <t>Disposición aplicable (ejemplo 8)</t>
  </si>
  <si>
    <t>Asignación de funciones de Contraloría Interna</t>
  </si>
  <si>
    <t>2.31</t>
  </si>
  <si>
    <t>Requerimiento (ejemplo 8)</t>
  </si>
  <si>
    <t>Consejo de Administración / Comité de Comunicación y Control</t>
  </si>
  <si>
    <t>SHCP / CNBV / Banxico / Condusef / IPAB</t>
  </si>
  <si>
    <t>15 días primeros del mes inmediato siguiente</t>
  </si>
  <si>
    <t>LFPDP</t>
  </si>
  <si>
    <t>Disposición aplicable (ejemplo 9)</t>
  </si>
  <si>
    <t>Autorizaciones a que se refieren los Artículos 51 Bis 6 y, en su caso, 51 Bis 8</t>
  </si>
  <si>
    <t>Requerimiento (ejemplo 9)</t>
  </si>
  <si>
    <t>Producto</t>
  </si>
  <si>
    <t>Comité de Administración Integral de Riesgos</t>
  </si>
  <si>
    <t>15 días hábiles siguientes a la fecha en que el consejo de administración o directivo, según sea el caso, haya designado</t>
  </si>
  <si>
    <t>Condusef: Procedimiento art 72 Bis</t>
  </si>
  <si>
    <t>CNBV</t>
  </si>
  <si>
    <t>Disposición aplicable (ejemplo 10)</t>
  </si>
  <si>
    <t>48a</t>
  </si>
  <si>
    <t>Requerimiento (ejemplo 10)</t>
  </si>
  <si>
    <t>Comité de Auditoría Interna</t>
  </si>
  <si>
    <t>15 días siguientes a aquel en que hayan realizado el alta o baja</t>
  </si>
  <si>
    <t>CUB</t>
  </si>
  <si>
    <t>Disposición aplicable (ejemplo 11)</t>
  </si>
  <si>
    <t>Apoyo para realización de pruebas de estrés</t>
  </si>
  <si>
    <t>Requerimiento (ejemplo 11)</t>
  </si>
  <si>
    <t>Control Interno/Cumplimiento/Riesgos</t>
  </si>
  <si>
    <t>Riesgos</t>
  </si>
  <si>
    <t>20 días hábiles a partir de la fecha en que la institución recibió la notificación</t>
  </si>
  <si>
    <t>LIC Art 115</t>
  </si>
  <si>
    <t>Disposición aplicable (ejemplo 12)</t>
  </si>
  <si>
    <t>Actos que modifiquen las actividades o situación financiera que pudieran afectar significativamente la eficacia del Plan de Contingencia</t>
  </si>
  <si>
    <t>47a</t>
  </si>
  <si>
    <t>Requerimiento (ejemplo 12)</t>
  </si>
  <si>
    <t>Comité de Auditoría</t>
  </si>
  <si>
    <t>SHCP / CNBV / IPAB</t>
  </si>
  <si>
    <t>2 días hábiles a partir de la fecha en que se presente el mencionado aviso</t>
  </si>
  <si>
    <t>Disposición aplicable (ejemplo 13)</t>
  </si>
  <si>
    <t>Art 115</t>
  </si>
  <si>
    <t>Requerimiento (ejemplo 13)</t>
  </si>
  <si>
    <t>2 días hábiles siguientes a la fecha en que hayan detectado los citados incumplimientos</t>
  </si>
  <si>
    <t>Disposición aplicable (ejemplo 14)</t>
  </si>
  <si>
    <t>Requerimiento (ejemplo 14)</t>
  </si>
  <si>
    <t>Comité de Comunicación y Control / Comité de Auditoría</t>
  </si>
  <si>
    <t>15 días hábiles posteriores a que concluyó el incidente de Seguridad de la Información</t>
  </si>
  <si>
    <t>LIC</t>
  </si>
  <si>
    <t>Disposición aplicable (ejemplo 15)</t>
  </si>
  <si>
    <t>Requerimiento (ejemplo 15)</t>
  </si>
  <si>
    <t>LSM</t>
  </si>
  <si>
    <t>Disposición aplicable (ejemplo 16)</t>
  </si>
  <si>
    <t>Asegurar que el personal conozca los diferentes puntos mencionados</t>
  </si>
  <si>
    <t>19</t>
  </si>
  <si>
    <t>Requerimiento (ejemplo 16)</t>
  </si>
  <si>
    <t>20 días hábiles bancarios antes de la realización del contrato de cesión o acto respectivo</t>
  </si>
  <si>
    <t>Finanzas</t>
  </si>
  <si>
    <t>CISO</t>
  </si>
  <si>
    <t>Año calendario</t>
  </si>
  <si>
    <t>Mes</t>
  </si>
  <si>
    <t>Nombre mes</t>
  </si>
  <si>
    <t>Mensual (último hábil)</t>
  </si>
  <si>
    <t>Día 15 (hábil previo)</t>
  </si>
  <si>
    <t>Mensual (próximas)</t>
  </si>
  <si>
    <t>Día 15 (próximas)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</si>
  <si>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</si>
  <si>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</si>
  <si>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</si>
  <si>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</si>
  <si>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</si>
  <si>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</si>
  <si>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</si>
  <si>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</si>
  <si>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</si>
  <si>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</si>
  <si>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</si>
  <si>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</si>
  <si>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Sí/No</t>
  </si>
  <si>
    <t>Área responsable</t>
  </si>
  <si>
    <t>Órgano/Regulador al que se envía</t>
  </si>
  <si>
    <t>Año y medio</t>
  </si>
  <si>
    <t>Bianual</t>
  </si>
  <si>
    <t>Diario</t>
  </si>
  <si>
    <t>Riesgos / Control Interno / Compliance</t>
  </si>
  <si>
    <t>Tesorería</t>
  </si>
  <si>
    <t>Tesorería/Riesgos</t>
  </si>
  <si>
    <t>Semestral</t>
  </si>
  <si>
    <t>Trienal</t>
  </si>
  <si>
    <t>Aplica dia 1 operaciones</t>
  </si>
  <si>
    <t>Si</t>
  </si>
  <si>
    <t>Anual, una vez al año</t>
  </si>
  <si>
    <t>Estatus</t>
  </si>
  <si>
    <t>ID</t>
  </si>
  <si>
    <t>OB-CNBV-01</t>
  </si>
  <si>
    <t>OB-CNBV-02</t>
  </si>
  <si>
    <t>OB-CNBV-03</t>
  </si>
  <si>
    <t>OB-CNBV-04</t>
  </si>
  <si>
    <t>OB-CNBV-05</t>
  </si>
  <si>
    <t>OB-CNBV-06</t>
  </si>
  <si>
    <t>OB-CNBV-07</t>
  </si>
  <si>
    <t>OB-CNBV-08</t>
  </si>
  <si>
    <t>OB-CNBV-09</t>
  </si>
  <si>
    <t>OB-CNBV-10</t>
  </si>
  <si>
    <t>OB-CNBV-11</t>
  </si>
  <si>
    <t>OB-CNBV-12</t>
  </si>
  <si>
    <t>OB-CNBV-14</t>
  </si>
  <si>
    <t>OB-CNBV-15</t>
  </si>
  <si>
    <t>OB-CNBV-16</t>
  </si>
  <si>
    <t>4TA ALERTA (Diaria)</t>
  </si>
  <si>
    <t>3ER ALERTA (Tercer dia)</t>
  </si>
  <si>
    <t>1ER ALERTA (1 vez)</t>
  </si>
  <si>
    <t>2DA ALERTA (semanal)</t>
  </si>
  <si>
    <t>Recordatorio</t>
  </si>
  <si>
    <t>Sin respuesta</t>
  </si>
  <si>
    <t>Pendiente (CN)</t>
  </si>
  <si>
    <t>Pendiente (Juridico)</t>
  </si>
  <si>
    <t>Solicitud</t>
  </si>
  <si>
    <t>Cerrado</t>
  </si>
  <si>
    <t>Con acuse</t>
  </si>
  <si>
    <t>Sin acuse</t>
  </si>
  <si>
    <t>Pendiente (Aut)</t>
  </si>
  <si>
    <t>auremauwer@gmail.com</t>
  </si>
  <si>
    <t>Responsable Área</t>
  </si>
  <si>
    <t>Responsable CN</t>
  </si>
  <si>
    <t>Responsable Juridico</t>
  </si>
  <si>
    <t>auremauwer@hotmail.com</t>
  </si>
  <si>
    <t>auremauwer@yahoo.com</t>
  </si>
  <si>
    <t>Apagado</t>
  </si>
  <si>
    <t>OB-CNBV-13</t>
  </si>
  <si>
    <t>Subestatus</t>
  </si>
  <si>
    <t>Aurelio</t>
  </si>
  <si>
    <t>Comité</t>
  </si>
  <si>
    <t>Banxicoco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</si>
</sst>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1F4E79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/>
    <xf numFmtId="164" fontId="5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8" fillId="0" borderId="0" xfId="1"/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5" borderId="0" xfId="0" applyFill="1"/>
    <xf numFmtId="0" fontId="8" fillId="0" borderId="0" xfId="1" applyFill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7">
    <dxf>
      <font>
        <b/>
        <color rgb="FFFFFFFF"/>
      </font>
      <fill>
        <patternFill patternType="solid">
          <fgColor rgb="FF00B05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numFmt numFmtId="1" formatCode="0"/>
    </dxf>
    <dxf>
      <border outline="0">
        <left style="thin">
          <color rgb="FFC0C0C0"/>
        </left>
      </border>
    </dxf>
    <dxf>
      <border outline="0">
        <right style="thin">
          <color rgb="FFC0C0C0"/>
        </right>
      </border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bligaciones" displayName="tbl_obligaciones" ref="B4:AC20" headerRowDxfId="6">
  <autoFilter ref="B4:AC20" xr:uid="{00000000-0009-0000-0100-000001000000}"/>
  <tableColumns count="28">
    <tableColumn id="1" xr3:uid="{00000000-0010-0000-0000-000001000000}" name="Disposición resumida"/>
    <tableColumn id="2" xr3:uid="{00000000-0010-0000-0000-000002000000}" name="Órgano / Regulador"/>
    <tableColumn id="3" xr3:uid="{00000000-0010-0000-0000-000003000000}" name="Disposición aplicable"/>
    <tableColumn id="4" xr3:uid="{00000000-0010-0000-0000-000004000000}" name="Tema"/>
    <tableColumn id="5" xr3:uid="{00000000-0010-0000-0000-000005000000}" name="Artículo"/>
    <tableColumn id="6" xr3:uid="{00000000-0010-0000-0000-000006000000}" name="Requerimiento"/>
    <tableColumn id="7" xr3:uid="{00000000-0010-0000-0000-000007000000}" name="Área Responsable"/>
    <tableColumn id="8" xr3:uid="{00000000-0010-0000-0000-000008000000}" name="Consejo de Admón"/>
    <tableColumn id="9" xr3:uid="{00000000-0010-0000-0000-000009000000}" name="Aprobación del Comité"/>
    <tableColumn id="10" xr3:uid="{00000000-0010-0000-0000-00000A000000}" name="Director General"/>
    <tableColumn id="11" xr3:uid="{00000000-0010-0000-0000-00000B000000}" name="Página de Internet"/>
    <tableColumn id="12" xr3:uid="{00000000-0010-0000-0000-00000C000000}" name="Órgano / Regulador al que se envía" dataDxfId="5"/>
    <tableColumn id="13" xr3:uid="{00000000-0010-0000-0000-00000D000000}" name="Periodicidad"/>
    <tableColumn id="14" xr3:uid="{00000000-0010-0000-0000-00000E000000}" name="Plazo de entrega" dataDxfId="4"/>
    <tableColumn id="16" xr3:uid="{00000000-0010-0000-0000-000010000000}" name="Fecha límite de entrega"/>
    <tableColumn id="17" xr3:uid="{00000000-0010-0000-0000-000011000000}" name="Fechas próximas de entrega"/>
    <tableColumn id="18" xr3:uid="{00000000-0010-0000-0000-000012000000}" name="Días para vencer" dataDxfId="3">
      <calculatedColumnFormula>tbl_obligaciones[[#This Row],[Fecha límite de entrega]]-TODAY()</calculatedColumnFormula>
    </tableColumn>
    <tableColumn id="19" xr3:uid="{00000000-0010-0000-0000-000013000000}" name="Notas"/>
    <tableColumn id="15" xr3:uid="{57A53766-902D-2A4D-9AAB-63BBCA4E207B}" name="Estatus"/>
    <tableColumn id="20" xr3:uid="{E69D8369-7E36-E546-9746-ECAB95AF045F}" name="Subestatus"/>
    <tableColumn id="21" xr3:uid="{DD985A22-75E3-2A47-A79C-100BA485D501}" name="ID"/>
    <tableColumn id="22" xr3:uid="{9441EF74-BC81-D546-A751-17ABCCA4C29F}" name="1ER ALERTA (1 vez)"/>
    <tableColumn id="23" xr3:uid="{4CD1CCF9-B5AF-4C48-AEE3-DC56BA849509}" name="2DA ALERTA (semanal)"/>
    <tableColumn id="24" xr3:uid="{1C54C7A0-E4DE-AD40-8CEC-7A6E182BAC69}" name="3ER ALERTA (Tercer dia)"/>
    <tableColumn id="25" xr3:uid="{1A0BE64E-B090-4340-B399-047A75384E95}" name="4TA ALERTA (Diaria)"/>
    <tableColumn id="27" xr3:uid="{3A5EF58D-E74C-8842-8E7D-681B6D081DFF}" name="Responsable Área"/>
    <tableColumn id="26" xr3:uid="{D2C508BA-021B-2B4A-B646-715A98D0E039}" name="Responsable CN"/>
    <tableColumn id="29" xr3:uid="{9D76390A-3E51-214F-BF86-536FFB23166F}" name="Responsable Juridi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remauwer@hot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uremauwer@gmail.com" TargetMode="External"/><Relationship Id="rId1" Type="http://schemas.openxmlformats.org/officeDocument/2006/relationships/hyperlink" Target="mailto:auremauwer@gmail.com" TargetMode="External"/><Relationship Id="rId6" Type="http://schemas.openxmlformats.org/officeDocument/2006/relationships/hyperlink" Target="mailto:auremauwer@yahoo.com" TargetMode="External"/><Relationship Id="rId5" Type="http://schemas.openxmlformats.org/officeDocument/2006/relationships/hyperlink" Target="mailto:auremauwer@yahoo.com" TargetMode="External"/><Relationship Id="rId4" Type="http://schemas.openxmlformats.org/officeDocument/2006/relationships/hyperlink" Target="mailto:auremauw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showGridLines="0" tabSelected="1" topLeftCell="K1" zoomScale="150" workbookViewId="0">
      <pane ySplit="4" topLeftCell="A5" activePane="bottomLeft" state="frozen"/>
      <selection pane="bottomLeft" activeCell="P5" sqref="P5"/>
    </sheetView>
  </sheetViews>
  <sheetFormatPr baseColWidth="10" defaultColWidth="8.83203125" defaultRowHeight="15" x14ac:dyDescent="0.2"/>
  <cols>
    <col min="1" max="1" width="8.83203125" customWidth="1"/>
    <col min="2" max="2" width="16" customWidth="1"/>
    <col min="3" max="3" width="18" customWidth="1"/>
    <col min="4" max="4" width="32" customWidth="1"/>
    <col min="5" max="5" width="26" customWidth="1"/>
    <col min="6" max="6" width="16" customWidth="1"/>
    <col min="7" max="7" width="25.33203125" customWidth="1"/>
    <col min="8" max="8" width="18" customWidth="1"/>
    <col min="9" max="9" width="16" customWidth="1"/>
    <col min="10" max="10" width="30" customWidth="1"/>
    <col min="11" max="11" width="16" customWidth="1"/>
    <col min="12" max="12" width="18" customWidth="1"/>
    <col min="13" max="13" width="28" customWidth="1"/>
    <col min="14" max="14" width="16" customWidth="1"/>
    <col min="15" max="15" width="34" customWidth="1"/>
    <col min="16" max="16" width="20" customWidth="1"/>
    <col min="17" max="17" width="26" customWidth="1"/>
    <col min="18" max="18" width="16" customWidth="1"/>
    <col min="19" max="19" width="26" customWidth="1"/>
    <col min="20" max="20" width="19.33203125" customWidth="1"/>
    <col min="21" max="21" width="18.83203125" customWidth="1"/>
    <col min="22" max="22" width="15.33203125" customWidth="1"/>
    <col min="23" max="26" width="18" customWidth="1"/>
    <col min="27" max="27" width="20.6640625" bestFit="1" customWidth="1"/>
    <col min="28" max="28" width="22.5" bestFit="1" customWidth="1"/>
    <col min="29" max="29" width="20.6640625" customWidth="1"/>
  </cols>
  <sheetData>
    <row r="1" spans="1:29" ht="22" customHeight="1" x14ac:dyDescent="0.2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9" ht="36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spans="1:29" ht="28" customHeight="1" x14ac:dyDescent="0.2">
      <c r="A4" s="12" t="s">
        <v>169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3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4" t="s">
        <v>14</v>
      </c>
      <c r="O4" s="15" t="s">
        <v>15</v>
      </c>
      <c r="P4" s="14" t="s">
        <v>16</v>
      </c>
      <c r="Q4" s="12" t="s">
        <v>17</v>
      </c>
      <c r="R4" s="14" t="s">
        <v>18</v>
      </c>
      <c r="S4" s="12" t="s">
        <v>19</v>
      </c>
      <c r="T4" s="16" t="s">
        <v>172</v>
      </c>
      <c r="U4" s="16" t="s">
        <v>210</v>
      </c>
      <c r="V4" s="16" t="s">
        <v>173</v>
      </c>
      <c r="W4" s="16" t="s">
        <v>191</v>
      </c>
      <c r="X4" s="16" t="s">
        <v>192</v>
      </c>
      <c r="Y4" s="16" t="s">
        <v>190</v>
      </c>
      <c r="Z4" s="16" t="s">
        <v>189</v>
      </c>
      <c r="AA4" s="16" t="s">
        <v>203</v>
      </c>
      <c r="AB4" s="16" t="s">
        <v>204</v>
      </c>
      <c r="AC4" s="16" t="s">
        <v>205</v>
      </c>
    </row>
    <row r="5" spans="1:29" ht="70" customHeight="1" x14ac:dyDescent="0.2">
      <c r="A5" t="s">
        <v>170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28</v>
      </c>
      <c r="M5" s="1" t="s">
        <v>30</v>
      </c>
      <c r="N5" s="1" t="s">
        <v>31</v>
      </c>
      <c r="O5" s="1" t="s">
        <v>32</v>
      </c>
      <c r="P5" s="2">
        <v>46235</v>
      </c>
      <c r="Q5" s="2">
        <v>46112</v>
      </c>
      <c r="R5" s="9">
        <f ca="1">tbl_obligaciones[[#This Row],[Fecha límite de entrega]]-TODAY()</f>
        <v>192</v>
      </c>
      <c r="S5" s="1"/>
      <c r="T5" t="s">
        <v>193</v>
      </c>
      <c r="U5" t="s">
        <v>195</v>
      </c>
      <c r="V5" t="s">
        <v>174</v>
      </c>
      <c r="W5" s="10"/>
      <c r="X5" s="10"/>
      <c r="Y5" s="10"/>
      <c r="Z5" s="10">
        <v>46106</v>
      </c>
      <c r="AA5" s="11" t="s">
        <v>202</v>
      </c>
      <c r="AB5" s="11" t="s">
        <v>206</v>
      </c>
      <c r="AC5" s="11" t="s">
        <v>207</v>
      </c>
    </row>
    <row r="6" spans="1:29" ht="70" customHeight="1" x14ac:dyDescent="0.2">
      <c r="A6" t="s">
        <v>27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29</v>
      </c>
      <c r="J6" s="1" t="s">
        <v>40</v>
      </c>
      <c r="K6" s="1" t="s">
        <v>29</v>
      </c>
      <c r="L6" s="1" t="s">
        <v>29</v>
      </c>
      <c r="M6" s="1" t="s">
        <v>41</v>
      </c>
      <c r="N6" s="1" t="s">
        <v>171</v>
      </c>
      <c r="O6" s="1" t="s">
        <v>42</v>
      </c>
      <c r="P6" s="2">
        <v>46235</v>
      </c>
      <c r="Q6" s="2">
        <v>46055</v>
      </c>
      <c r="R6" s="9">
        <f ca="1">tbl_obligaciones[[#This Row],[Fecha límite de entrega]]-TODAY()</f>
        <v>192</v>
      </c>
      <c r="S6" s="1"/>
      <c r="T6" t="s">
        <v>193</v>
      </c>
      <c r="U6" t="s">
        <v>194</v>
      </c>
      <c r="V6" t="s">
        <v>175</v>
      </c>
      <c r="W6" s="10">
        <v>46143</v>
      </c>
      <c r="X6" s="10">
        <v>46174</v>
      </c>
      <c r="Y6" s="10">
        <v>46204</v>
      </c>
      <c r="Z6" s="10">
        <v>46228</v>
      </c>
      <c r="AA6" s="11" t="s">
        <v>202</v>
      </c>
      <c r="AB6" s="11" t="s">
        <v>206</v>
      </c>
      <c r="AC6" s="11" t="s">
        <v>207</v>
      </c>
    </row>
    <row r="7" spans="1:29" ht="70" customHeight="1" x14ac:dyDescent="0.2">
      <c r="B7" s="1" t="s">
        <v>43</v>
      </c>
      <c r="C7" s="1" t="s">
        <v>30</v>
      </c>
      <c r="D7" s="1" t="s">
        <v>44</v>
      </c>
      <c r="E7" s="1" t="s">
        <v>45</v>
      </c>
      <c r="F7" s="1" t="s">
        <v>37</v>
      </c>
      <c r="G7" s="1" t="s">
        <v>46</v>
      </c>
      <c r="H7" s="1" t="s">
        <v>26</v>
      </c>
      <c r="I7" s="1" t="s">
        <v>28</v>
      </c>
      <c r="J7" s="1" t="s">
        <v>47</v>
      </c>
      <c r="K7" s="1" t="s">
        <v>27</v>
      </c>
      <c r="L7" s="1" t="s">
        <v>29</v>
      </c>
      <c r="M7" s="1" t="s">
        <v>48</v>
      </c>
      <c r="N7" s="1" t="s">
        <v>161</v>
      </c>
      <c r="O7" s="1" t="s">
        <v>50</v>
      </c>
      <c r="P7" s="8">
        <v>46143</v>
      </c>
      <c r="Q7" s="2">
        <v>46142</v>
      </c>
      <c r="R7" s="9">
        <f ca="1">tbl_obligaciones[[#This Row],[Fecha límite de entrega]]-TODAY()</f>
        <v>100</v>
      </c>
      <c r="S7" s="1"/>
      <c r="T7" t="s">
        <v>193</v>
      </c>
      <c r="U7" t="s">
        <v>194</v>
      </c>
      <c r="V7" t="s">
        <v>176</v>
      </c>
      <c r="W7" s="10">
        <v>46054</v>
      </c>
      <c r="X7" s="10">
        <v>46082</v>
      </c>
      <c r="Y7" s="10">
        <v>46113</v>
      </c>
      <c r="Z7" s="10">
        <v>46132</v>
      </c>
      <c r="AA7" s="11" t="s">
        <v>202</v>
      </c>
      <c r="AB7" s="11" t="s">
        <v>206</v>
      </c>
      <c r="AC7" s="11" t="s">
        <v>207</v>
      </c>
    </row>
    <row r="8" spans="1:29" ht="70" customHeight="1" x14ac:dyDescent="0.2">
      <c r="B8" s="1" t="s">
        <v>51</v>
      </c>
      <c r="C8" s="1" t="s">
        <v>34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27</v>
      </c>
      <c r="J8" s="1" t="s">
        <v>57</v>
      </c>
      <c r="K8" s="1" t="s">
        <v>29</v>
      </c>
      <c r="L8" s="1" t="s">
        <v>29</v>
      </c>
      <c r="M8" s="1" t="s">
        <v>58</v>
      </c>
      <c r="N8" s="1" t="s">
        <v>68</v>
      </c>
      <c r="O8" s="1" t="s">
        <v>59</v>
      </c>
      <c r="P8" s="8">
        <v>46130</v>
      </c>
      <c r="Q8" s="2">
        <v>46198</v>
      </c>
      <c r="R8" s="9">
        <f ca="1">tbl_obligaciones[[#This Row],[Fecha límite de entrega]]-TODAY()</f>
        <v>87</v>
      </c>
      <c r="S8" s="1"/>
      <c r="T8" t="s">
        <v>193</v>
      </c>
      <c r="U8" t="s">
        <v>195</v>
      </c>
      <c r="V8" t="s">
        <v>177</v>
      </c>
      <c r="Y8" s="10">
        <v>46082</v>
      </c>
      <c r="Z8" s="10">
        <v>46113</v>
      </c>
      <c r="AA8" s="11" t="s">
        <v>202</v>
      </c>
      <c r="AB8" s="11" t="s">
        <v>206</v>
      </c>
      <c r="AC8" s="11" t="s">
        <v>207</v>
      </c>
    </row>
    <row r="9" spans="1:29" ht="70" customHeight="1" x14ac:dyDescent="0.2"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27</v>
      </c>
      <c r="J9" s="1" t="s">
        <v>67</v>
      </c>
      <c r="K9" s="1" t="s">
        <v>28</v>
      </c>
      <c r="L9" s="1" t="s">
        <v>29</v>
      </c>
      <c r="M9" s="1" t="s">
        <v>58</v>
      </c>
      <c r="N9" s="1" t="s">
        <v>162</v>
      </c>
      <c r="O9" s="1" t="s">
        <v>59</v>
      </c>
      <c r="P9" s="8">
        <v>46113</v>
      </c>
      <c r="Q9" s="2">
        <v>45675</v>
      </c>
      <c r="R9" s="9">
        <f ca="1">tbl_obligaciones[[#This Row],[Fecha límite de entrega]]-TODAY()</f>
        <v>70</v>
      </c>
      <c r="S9" s="1"/>
      <c r="T9" t="s">
        <v>193</v>
      </c>
      <c r="U9" t="s">
        <v>195</v>
      </c>
      <c r="V9" t="s">
        <v>178</v>
      </c>
      <c r="W9" s="10">
        <v>46037</v>
      </c>
      <c r="X9" s="10">
        <v>46082</v>
      </c>
      <c r="Y9" s="10">
        <v>46096</v>
      </c>
      <c r="Z9" s="10">
        <v>46101</v>
      </c>
      <c r="AA9" s="11" t="s">
        <v>202</v>
      </c>
      <c r="AB9" s="11" t="s">
        <v>206</v>
      </c>
      <c r="AC9" s="11" t="s">
        <v>207</v>
      </c>
    </row>
    <row r="10" spans="1:29" ht="70" customHeight="1" x14ac:dyDescent="0.2">
      <c r="B10" s="1" t="s">
        <v>69</v>
      </c>
      <c r="C10" s="1" t="s">
        <v>21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27</v>
      </c>
      <c r="J10" s="1" t="s">
        <v>75</v>
      </c>
      <c r="K10" s="1" t="s">
        <v>28</v>
      </c>
      <c r="L10" s="1" t="s">
        <v>29</v>
      </c>
      <c r="M10" s="1" t="s">
        <v>76</v>
      </c>
      <c r="N10" s="1" t="s">
        <v>31</v>
      </c>
      <c r="O10" s="1" t="s">
        <v>77</v>
      </c>
      <c r="P10" s="2">
        <v>46082</v>
      </c>
      <c r="Q10" s="2">
        <v>46368</v>
      </c>
      <c r="R10" s="9">
        <f ca="1">tbl_obligaciones[[#This Row],[Fecha límite de entrega]]-TODAY()</f>
        <v>39</v>
      </c>
      <c r="S10" s="1"/>
      <c r="T10" t="s">
        <v>197</v>
      </c>
      <c r="U10" t="s">
        <v>196</v>
      </c>
      <c r="V10" t="s">
        <v>179</v>
      </c>
      <c r="Y10" s="10">
        <v>46051</v>
      </c>
      <c r="Z10" s="10">
        <v>46073</v>
      </c>
      <c r="AA10" s="11" t="s">
        <v>202</v>
      </c>
      <c r="AB10" s="11" t="s">
        <v>206</v>
      </c>
      <c r="AC10" s="11" t="s">
        <v>207</v>
      </c>
    </row>
    <row r="11" spans="1:29" ht="70" customHeight="1" x14ac:dyDescent="0.2">
      <c r="B11" s="1" t="s">
        <v>78</v>
      </c>
      <c r="C11" s="1" t="s">
        <v>79</v>
      </c>
      <c r="D11" s="1" t="s">
        <v>80</v>
      </c>
      <c r="E11" s="1" t="s">
        <v>23</v>
      </c>
      <c r="F11" s="1" t="s">
        <v>54</v>
      </c>
      <c r="G11" s="1" t="s">
        <v>81</v>
      </c>
      <c r="H11" s="1" t="s">
        <v>26</v>
      </c>
      <c r="I11" s="1" t="s">
        <v>28</v>
      </c>
      <c r="J11" s="1" t="s">
        <v>67</v>
      </c>
      <c r="K11" s="1" t="s">
        <v>29</v>
      </c>
      <c r="L11" s="1" t="s">
        <v>28</v>
      </c>
      <c r="M11" s="1" t="s">
        <v>58</v>
      </c>
      <c r="N11" s="1" t="s">
        <v>49</v>
      </c>
      <c r="O11" s="1" t="s">
        <v>82</v>
      </c>
      <c r="P11" s="8">
        <v>46078</v>
      </c>
      <c r="Q11" s="2">
        <v>46240</v>
      </c>
      <c r="R11" s="9">
        <f ca="1">tbl_obligaciones[[#This Row],[Fecha límite de entrega]]-TODAY()</f>
        <v>35</v>
      </c>
      <c r="S11" s="1"/>
      <c r="T11" t="s">
        <v>197</v>
      </c>
      <c r="U11" t="s">
        <v>201</v>
      </c>
      <c r="V11" t="s">
        <v>180</v>
      </c>
      <c r="X11" s="10">
        <v>46034</v>
      </c>
      <c r="AA11" s="11" t="s">
        <v>202</v>
      </c>
      <c r="AB11" s="11" t="s">
        <v>206</v>
      </c>
      <c r="AC11" s="11" t="s">
        <v>207</v>
      </c>
    </row>
    <row r="12" spans="1:29" ht="70" customHeight="1" x14ac:dyDescent="0.2">
      <c r="B12" s="1" t="s">
        <v>83</v>
      </c>
      <c r="C12" s="1" t="s">
        <v>34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11</v>
      </c>
      <c r="I12" s="1" t="s">
        <v>27</v>
      </c>
      <c r="J12" s="1" t="s">
        <v>88</v>
      </c>
      <c r="K12" s="1" t="s">
        <v>27</v>
      </c>
      <c r="L12" s="1" t="s">
        <v>28</v>
      </c>
      <c r="M12" s="1" t="s">
        <v>89</v>
      </c>
      <c r="N12" s="1" t="s">
        <v>68</v>
      </c>
      <c r="O12" s="1" t="s">
        <v>90</v>
      </c>
      <c r="P12" s="8">
        <v>46073</v>
      </c>
      <c r="Q12" s="2">
        <v>46024</v>
      </c>
      <c r="R12" s="9">
        <f ca="1">tbl_obligaciones[[#This Row],[Fecha límite de entrega]]-TODAY()</f>
        <v>30</v>
      </c>
      <c r="S12" s="1"/>
      <c r="T12" t="s">
        <v>197</v>
      </c>
      <c r="U12" t="s">
        <v>201</v>
      </c>
      <c r="V12" t="s">
        <v>181</v>
      </c>
      <c r="W12" s="10">
        <v>46054</v>
      </c>
      <c r="AA12" s="11" t="s">
        <v>202</v>
      </c>
      <c r="AB12" s="11" t="s">
        <v>206</v>
      </c>
      <c r="AC12" s="11" t="s">
        <v>207</v>
      </c>
    </row>
    <row r="13" spans="1:29" ht="70" customHeight="1" x14ac:dyDescent="0.2">
      <c r="B13" s="1" t="s">
        <v>91</v>
      </c>
      <c r="C13" s="1" t="s">
        <v>28</v>
      </c>
      <c r="D13" s="1" t="s">
        <v>92</v>
      </c>
      <c r="E13" s="1" t="s">
        <v>93</v>
      </c>
      <c r="F13" s="1" t="s">
        <v>86</v>
      </c>
      <c r="G13" s="1" t="s">
        <v>94</v>
      </c>
      <c r="H13" s="1" t="s">
        <v>95</v>
      </c>
      <c r="I13" s="1" t="s">
        <v>29</v>
      </c>
      <c r="J13" s="1" t="s">
        <v>96</v>
      </c>
      <c r="K13" s="1" t="s">
        <v>29</v>
      </c>
      <c r="L13" s="1" t="s">
        <v>28</v>
      </c>
      <c r="M13" s="1" t="s">
        <v>61</v>
      </c>
      <c r="N13" s="1" t="s">
        <v>31</v>
      </c>
      <c r="O13" s="1" t="s">
        <v>97</v>
      </c>
      <c r="P13" s="2">
        <v>46068</v>
      </c>
      <c r="Q13" s="2">
        <v>46027</v>
      </c>
      <c r="R13" s="9">
        <f ca="1">tbl_obligaciones[[#This Row],[Fecha límite de entrega]]-TODAY()</f>
        <v>25</v>
      </c>
      <c r="S13" s="1"/>
      <c r="T13" t="s">
        <v>193</v>
      </c>
      <c r="U13" t="s">
        <v>194</v>
      </c>
      <c r="V13" t="s">
        <v>182</v>
      </c>
      <c r="Y13" s="10">
        <v>46037</v>
      </c>
      <c r="AA13" s="11" t="s">
        <v>202</v>
      </c>
      <c r="AB13" s="11" t="s">
        <v>206</v>
      </c>
      <c r="AC13" s="11" t="s">
        <v>207</v>
      </c>
    </row>
    <row r="14" spans="1:29" ht="70" customHeight="1" x14ac:dyDescent="0.2">
      <c r="B14" s="1" t="s">
        <v>98</v>
      </c>
      <c r="C14" s="1" t="s">
        <v>99</v>
      </c>
      <c r="D14" s="1" t="s">
        <v>100</v>
      </c>
      <c r="E14" s="1" t="s">
        <v>63</v>
      </c>
      <c r="F14" s="1" t="s">
        <v>101</v>
      </c>
      <c r="G14" s="1" t="s">
        <v>102</v>
      </c>
      <c r="H14" s="1" t="s">
        <v>103</v>
      </c>
      <c r="I14" s="1" t="s">
        <v>28</v>
      </c>
      <c r="J14" s="1" t="s">
        <v>96</v>
      </c>
      <c r="K14" s="1" t="s">
        <v>28</v>
      </c>
      <c r="L14" s="1" t="s">
        <v>27</v>
      </c>
      <c r="M14" s="1" t="s">
        <v>61</v>
      </c>
      <c r="N14" s="1" t="s">
        <v>68</v>
      </c>
      <c r="O14" s="1" t="s">
        <v>104</v>
      </c>
      <c r="P14" s="8">
        <v>46066</v>
      </c>
      <c r="Q14" s="2">
        <v>46030</v>
      </c>
      <c r="R14" s="3">
        <f ca="1">tbl_obligaciones[[#This Row],[Fecha límite de entrega]]-TODAY()</f>
        <v>23</v>
      </c>
      <c r="S14" s="1"/>
      <c r="T14" t="s">
        <v>197</v>
      </c>
      <c r="U14" t="s">
        <v>196</v>
      </c>
      <c r="V14" t="s">
        <v>183</v>
      </c>
      <c r="Z14" s="10">
        <v>46047</v>
      </c>
      <c r="AA14" s="11" t="s">
        <v>202</v>
      </c>
      <c r="AB14" s="11" t="s">
        <v>206</v>
      </c>
      <c r="AC14" s="11" t="s">
        <v>207</v>
      </c>
    </row>
    <row r="15" spans="1:29" ht="70" customHeight="1" x14ac:dyDescent="0.2">
      <c r="B15" s="1" t="s">
        <v>105</v>
      </c>
      <c r="C15" s="1" t="s">
        <v>79</v>
      </c>
      <c r="D15" s="1" t="s">
        <v>106</v>
      </c>
      <c r="E15" s="1" t="s">
        <v>107</v>
      </c>
      <c r="F15" s="1" t="s">
        <v>64</v>
      </c>
      <c r="G15" s="1" t="s">
        <v>108</v>
      </c>
      <c r="H15" s="1" t="s">
        <v>109</v>
      </c>
      <c r="I15" s="1" t="s">
        <v>28</v>
      </c>
      <c r="J15" s="1" t="s">
        <v>110</v>
      </c>
      <c r="K15" s="1" t="s">
        <v>29</v>
      </c>
      <c r="L15" s="1" t="s">
        <v>28</v>
      </c>
      <c r="M15" s="1" t="s">
        <v>30</v>
      </c>
      <c r="N15" s="1" t="s">
        <v>68</v>
      </c>
      <c r="O15" s="1" t="s">
        <v>111</v>
      </c>
      <c r="P15" s="8">
        <v>46055</v>
      </c>
      <c r="Q15" s="2">
        <v>46087</v>
      </c>
      <c r="R15" s="3">
        <f ca="1">tbl_obligaciones[[#This Row],[Fecha límite de entrega]]-TODAY()</f>
        <v>12</v>
      </c>
      <c r="S15" s="1"/>
      <c r="T15" t="s">
        <v>198</v>
      </c>
      <c r="U15" t="s">
        <v>199</v>
      </c>
      <c r="V15" t="s">
        <v>184</v>
      </c>
      <c r="W15" s="10">
        <v>46054</v>
      </c>
      <c r="AA15" s="11" t="s">
        <v>202</v>
      </c>
      <c r="AB15" s="11" t="s">
        <v>206</v>
      </c>
      <c r="AC15" s="11" t="s">
        <v>207</v>
      </c>
    </row>
    <row r="16" spans="1:29" ht="70" customHeight="1" x14ac:dyDescent="0.2">
      <c r="B16" s="1" t="s">
        <v>112</v>
      </c>
      <c r="C16" s="1" t="s">
        <v>48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74</v>
      </c>
      <c r="I16" s="1" t="s">
        <v>27</v>
      </c>
      <c r="J16" s="1" t="s">
        <v>117</v>
      </c>
      <c r="K16" s="1" t="s">
        <v>27</v>
      </c>
      <c r="L16" s="1" t="s">
        <v>28</v>
      </c>
      <c r="M16" s="1" t="s">
        <v>118</v>
      </c>
      <c r="N16" s="1" t="s">
        <v>31</v>
      </c>
      <c r="O16" s="1" t="s">
        <v>119</v>
      </c>
      <c r="P16" s="8">
        <v>46047</v>
      </c>
      <c r="Q16" s="2">
        <v>46083</v>
      </c>
      <c r="R16" s="3">
        <f ca="1">tbl_obligaciones[[#This Row],[Fecha límite de entrega]]-TODAY()</f>
        <v>4</v>
      </c>
      <c r="S16" s="1"/>
      <c r="T16" t="s">
        <v>198</v>
      </c>
      <c r="U16" t="s">
        <v>200</v>
      </c>
      <c r="V16" t="s">
        <v>185</v>
      </c>
      <c r="Y16" s="10">
        <v>46042</v>
      </c>
      <c r="AA16" s="11" t="s">
        <v>202</v>
      </c>
      <c r="AB16" s="11" t="s">
        <v>206</v>
      </c>
      <c r="AC16" s="11" t="s">
        <v>207</v>
      </c>
    </row>
    <row r="17" spans="2:29" ht="70" customHeight="1" x14ac:dyDescent="0.2">
      <c r="B17" s="1" t="s">
        <v>112</v>
      </c>
      <c r="C17" s="1" t="s">
        <v>213</v>
      </c>
      <c r="D17" s="1" t="s">
        <v>120</v>
      </c>
      <c r="E17" s="1" t="s">
        <v>211</v>
      </c>
      <c r="F17" s="1" t="s">
        <v>121</v>
      </c>
      <c r="G17" s="1" t="s">
        <v>122</v>
      </c>
      <c r="H17" s="1" t="s">
        <v>95</v>
      </c>
      <c r="I17" s="1" t="s">
        <v>28</v>
      </c>
      <c r="J17" s="1" t="s">
        <v>212</v>
      </c>
      <c r="K17" s="1" t="s">
        <v>29</v>
      </c>
      <c r="L17" s="1" t="s">
        <v>28</v>
      </c>
      <c r="M17" s="1" t="s">
        <v>21</v>
      </c>
      <c r="N17" s="1" t="s">
        <v>31</v>
      </c>
      <c r="O17" s="1" t="s">
        <v>123</v>
      </c>
      <c r="P17" s="8">
        <v>46044</v>
      </c>
      <c r="Q17" s="2">
        <v>46210</v>
      </c>
      <c r="R17" s="3">
        <f ca="1">tbl_obligaciones[[#This Row],[Fecha límite de entrega]]-TODAY()</f>
        <v>1</v>
      </c>
      <c r="S17" s="1"/>
      <c r="T17" t="s">
        <v>193</v>
      </c>
      <c r="U17" t="s">
        <v>194</v>
      </c>
      <c r="V17" t="s">
        <v>209</v>
      </c>
      <c r="Y17" s="10">
        <v>46034</v>
      </c>
      <c r="Z17" s="10">
        <v>46037</v>
      </c>
      <c r="AA17" s="17" t="s">
        <v>202</v>
      </c>
      <c r="AB17" s="17" t="s">
        <v>206</v>
      </c>
      <c r="AC17" s="17" t="s">
        <v>207</v>
      </c>
    </row>
    <row r="18" spans="2:29" ht="70" customHeight="1" x14ac:dyDescent="0.2">
      <c r="B18" s="1" t="s">
        <v>51</v>
      </c>
      <c r="C18" s="1" t="s">
        <v>61</v>
      </c>
      <c r="D18" s="1" t="s">
        <v>124</v>
      </c>
      <c r="E18" s="1" t="s">
        <v>85</v>
      </c>
      <c r="F18" s="1" t="s">
        <v>115</v>
      </c>
      <c r="G18" s="1" t="s">
        <v>125</v>
      </c>
      <c r="H18" s="1" t="s">
        <v>56</v>
      </c>
      <c r="I18" s="1" t="s">
        <v>29</v>
      </c>
      <c r="J18" s="1" t="s">
        <v>126</v>
      </c>
      <c r="K18" s="1" t="s">
        <v>28</v>
      </c>
      <c r="L18" s="1" t="s">
        <v>28</v>
      </c>
      <c r="M18" s="1" t="s">
        <v>34</v>
      </c>
      <c r="N18" s="1" t="s">
        <v>68</v>
      </c>
      <c r="O18" s="1" t="s">
        <v>127</v>
      </c>
      <c r="P18" s="8">
        <v>46043</v>
      </c>
      <c r="Q18" s="2">
        <v>46297</v>
      </c>
      <c r="R18" s="3">
        <f ca="1">tbl_obligaciones[[#This Row],[Fecha límite de entrega]]-TODAY()</f>
        <v>0</v>
      </c>
      <c r="S18" s="1"/>
      <c r="T18" t="s">
        <v>208</v>
      </c>
      <c r="U18" t="s">
        <v>208</v>
      </c>
      <c r="V18" t="s">
        <v>186</v>
      </c>
      <c r="Z18" s="10">
        <v>46078</v>
      </c>
      <c r="AA18" s="11" t="s">
        <v>202</v>
      </c>
      <c r="AB18" s="11" t="s">
        <v>206</v>
      </c>
      <c r="AC18" s="11" t="s">
        <v>207</v>
      </c>
    </row>
    <row r="19" spans="2:29" ht="70" customHeight="1" x14ac:dyDescent="0.2">
      <c r="B19" s="1" t="s">
        <v>128</v>
      </c>
      <c r="C19" s="1" t="s">
        <v>61</v>
      </c>
      <c r="D19" s="1" t="s">
        <v>129</v>
      </c>
      <c r="E19" s="1" t="s">
        <v>53</v>
      </c>
      <c r="F19" s="1" t="s">
        <v>37</v>
      </c>
      <c r="G19" s="1" t="s">
        <v>130</v>
      </c>
      <c r="H19" s="1" t="s">
        <v>95</v>
      </c>
      <c r="I19" s="1" t="s">
        <v>28</v>
      </c>
      <c r="J19" s="1" t="s">
        <v>96</v>
      </c>
      <c r="K19" s="1" t="s">
        <v>28</v>
      </c>
      <c r="L19" s="1" t="s">
        <v>28</v>
      </c>
      <c r="M19" s="1" t="s">
        <v>89</v>
      </c>
      <c r="N19" s="1" t="s">
        <v>49</v>
      </c>
      <c r="O19" s="1" t="s">
        <v>127</v>
      </c>
      <c r="P19" s="8">
        <v>46042</v>
      </c>
      <c r="Q19" s="2">
        <v>46692</v>
      </c>
      <c r="R19" s="3">
        <f ca="1">tbl_obligaciones[[#This Row],[Fecha límite de entrega]]-TODAY()</f>
        <v>-1</v>
      </c>
      <c r="S19" s="1"/>
      <c r="T19" t="s">
        <v>208</v>
      </c>
      <c r="U19" t="s">
        <v>208</v>
      </c>
      <c r="V19" t="s">
        <v>187</v>
      </c>
      <c r="AA19" s="11" t="s">
        <v>202</v>
      </c>
      <c r="AB19" s="11" t="s">
        <v>206</v>
      </c>
      <c r="AC19" s="11" t="s">
        <v>207</v>
      </c>
    </row>
    <row r="20" spans="2:29" ht="70" customHeight="1" x14ac:dyDescent="0.2">
      <c r="B20" s="1" t="s">
        <v>131</v>
      </c>
      <c r="C20" s="1" t="s">
        <v>61</v>
      </c>
      <c r="D20" s="1" t="s">
        <v>132</v>
      </c>
      <c r="E20" s="1" t="s">
        <v>133</v>
      </c>
      <c r="F20" s="1" t="s">
        <v>134</v>
      </c>
      <c r="G20" s="1" t="s">
        <v>135</v>
      </c>
      <c r="H20" s="1" t="s">
        <v>56</v>
      </c>
      <c r="I20" s="1" t="s">
        <v>28</v>
      </c>
      <c r="J20" s="1" t="s">
        <v>117</v>
      </c>
      <c r="K20" s="1" t="s">
        <v>28</v>
      </c>
      <c r="L20" s="1" t="s">
        <v>29</v>
      </c>
      <c r="M20" s="1" t="s">
        <v>41</v>
      </c>
      <c r="N20" s="1" t="s">
        <v>49</v>
      </c>
      <c r="O20" s="1" t="s">
        <v>136</v>
      </c>
      <c r="P20" s="8">
        <v>46023</v>
      </c>
      <c r="Q20" s="2">
        <v>46392</v>
      </c>
      <c r="R20" s="3">
        <f ca="1">tbl_obligaciones[[#This Row],[Fecha límite de entrega]]-TODAY()</f>
        <v>-20</v>
      </c>
      <c r="S20" s="1"/>
      <c r="T20" t="s">
        <v>208</v>
      </c>
      <c r="U20" t="s">
        <v>208</v>
      </c>
      <c r="V20" t="s">
        <v>188</v>
      </c>
      <c r="AA20" s="11" t="s">
        <v>202</v>
      </c>
      <c r="AB20" s="11" t="s">
        <v>206</v>
      </c>
      <c r="AC20" s="11" t="s">
        <v>207</v>
      </c>
    </row>
  </sheetData>
  <mergeCells count="2">
    <mergeCell ref="B2:S2"/>
    <mergeCell ref="B1:S1"/>
  </mergeCells>
  <phoneticPr fontId="7" type="noConversion"/>
  <conditionalFormatting sqref="R5:R20">
    <cfRule type="cellIs" dxfId="2" priority="1" operator="lessThan">
      <formula>0</formula>
    </cfRule>
    <cfRule type="cellIs" dxfId="1" priority="2" operator="between">
      <formula>0</formula>
      <formula>7</formula>
    </cfRule>
    <cfRule type="cellIs" dxfId="0" priority="3" operator="greaterThan">
      <formula>7</formula>
    </cfRule>
  </conditionalFormatting>
  <hyperlinks>
    <hyperlink ref="AA5" r:id="rId1" xr:uid="{1D5F6C83-EE00-644F-B6C3-59E77C87CA55}"/>
    <hyperlink ref="AA6:AA20" r:id="rId2" display="auremauwer@gmail.com" xr:uid="{7570CFF3-D45E-544E-9F56-A8E73F914BD3}"/>
    <hyperlink ref="AB5" r:id="rId3" xr:uid="{CF32C323-D6CD-F64D-80F4-BD8B0A824851}"/>
    <hyperlink ref="AB6:AB20" r:id="rId4" display="auremauwer@hotmail.com" xr:uid="{72D01F54-BA2B-5C42-9A50-F48AF38D310D}"/>
    <hyperlink ref="AC5" r:id="rId5" xr:uid="{2517659A-ED1A-5941-BBAC-C4F283087F0C}"/>
    <hyperlink ref="AC6:AC20" r:id="rId6" display="auremauwer@yahoo.com" xr:uid="{B3B3BE5C-1B7B-3246-8984-529D74C7105E}"/>
  </hyperlinks>
  <pageMargins left="0.75" right="0.75" top="1" bottom="1" header="0.5" footer="0.5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DropDown="1" promptTitle="Selecciona un valor" prompt="Sí o No" xr:uid="{00000000-0002-0000-0000-000000000000}">
          <x14:formula1>
            <xm:f>Catalogos!$A$2:$A$3</xm:f>
          </x14:formula1>
          <xm:sqref>I5:I20 K5:L20</xm:sqref>
        </x14:dataValidation>
        <x14:dataValidation type="list" allowBlank="1" showDropDown="1" promptTitle="Selecciona un valor" prompt="Periodicidad" xr:uid="{00000000-0002-0000-0000-000003000000}">
          <x14:formula1>
            <xm:f>Catalogos!$B$2:$B$9</xm:f>
          </x14:formula1>
          <xm:sqref>N5:N20</xm:sqref>
        </x14:dataValidation>
        <x14:dataValidation type="list" allowBlank="1" showDropDown="1" promptTitle="Selecciona un valor" prompt="Plazo de entrega" xr:uid="{00000000-0002-0000-0000-000004000000}">
          <x14:formula1>
            <xm:f>Catalogos!$C$2:$C$3</xm:f>
          </x14:formula1>
          <xm:sqref>O5:O20</xm:sqref>
        </x14:dataValidation>
        <x14:dataValidation type="list" allowBlank="1" showDropDown="1" promptTitle="Selecciona un valor" prompt="Área responsable" xr:uid="{00000000-0002-0000-0000-000005000000}">
          <x14:formula1>
            <xm:f>Catalogos!$D$2:$D$7</xm:f>
          </x14:formula1>
          <xm:sqref>H5:H20</xm:sqref>
        </x14:dataValidation>
        <x14:dataValidation type="list" allowBlank="1" showDropDown="1" promptTitle="Selecciona un valor" prompt="Órgano / Regulador" xr:uid="{00000000-0002-0000-0000-000006000000}">
          <x14:formula1>
            <xm:f>Catalogos!$E$2:$E$3</xm:f>
          </x14:formula1>
          <xm:sqref>C5:C20</xm:sqref>
        </x14:dataValidation>
        <x14:dataValidation type="list" allowBlank="1" showDropDown="1" promptTitle="Selecciona un valor" prompt="Disposición resumida" xr:uid="{00000000-0002-0000-0000-000007000000}">
          <x14:formula1>
            <xm:f>Catalogos!$E$2:$E$3</xm:f>
          </x14:formula1>
          <xm:sqref>B5:B20</xm:sqref>
        </x14:dataValidation>
        <x14:dataValidation type="list" allowBlank="1" showDropDown="1" promptTitle="Selecciona un valor" prompt="Órgano / Regulador al que se envía" xr:uid="{00000000-0002-0000-0000-000008000000}">
          <x14:formula1>
            <xm:f>Catalogos!$F$2:$F$3</xm:f>
          </x14:formula1>
          <xm:sqref>M5:M20</xm:sqref>
        </x14:dataValidation>
        <x14:dataValidation type="list" allowBlank="1" showDropDown="1" promptTitle="Selecciona un valor" prompt="Comité" xr:uid="{00000000-0002-0000-0000-000009000000}">
          <x14:formula1>
            <xm:f>Catalogos!$G$2:$G$3</xm:f>
          </x14:formula1>
          <xm:sqref>J5:J20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6" width="22" customWidth="1"/>
  </cols>
  <sheetData>
    <row r="1" spans="1:6" ht="18" customHeight="1" x14ac:dyDescent="0.2">
      <c r="A1" t="s">
        <v>139</v>
      </c>
      <c r="B1">
        <v>2026</v>
      </c>
    </row>
    <row r="2" spans="1:6" ht="18" customHeight="1" x14ac:dyDescent="0.2"/>
    <row r="3" spans="1:6" ht="18" customHeight="1" x14ac:dyDescent="0.2">
      <c r="A3" s="4" t="s">
        <v>140</v>
      </c>
      <c r="B3" s="4" t="s">
        <v>141</v>
      </c>
      <c r="C3" s="4" t="s">
        <v>142</v>
      </c>
      <c r="D3" s="4" t="s">
        <v>143</v>
      </c>
      <c r="E3" s="4" t="s">
        <v>144</v>
      </c>
      <c r="F3" s="4" t="s">
        <v>145</v>
      </c>
    </row>
    <row r="4" spans="1:6" ht="18" customHeight="1" x14ac:dyDescent="0.2">
      <c r="A4" s="5">
        <v>1</v>
      </c>
      <c r="B4" s="6" t="s">
        <v>146</v>
      </c>
      <c r="C4" s="7">
        <f t="shared" ref="C4:C15" si="0">IF(WEEKDAY(EOMONTH(DATE($B$1,$A4,1),0),2)&gt;5,EOMONTH(DATE($B$1,$A4,1),0)-(WEEKDAY(EOMONTH(DATE($B$1,$A4,1),0),2)-5),EOMONTH(DATE($B$1,$A4,1),0))</f>
        <v>46052</v>
      </c>
      <c r="D4" s="7">
        <f t="shared" ref="D4:D15" si="1">IF(WEEKDAY(DATE($B$1,$A4,15),2)&gt;5,DATE($B$1,$A4,15)-(WEEKDAY(DATE($B$1,$A4,15),2)-5),DATE($B$1,$A4,15))</f>
        <v>46037</v>
      </c>
      <c r="E4" s="7" t="str">
        <f t="shared" ref="E4:E15" ca="1" si="2">IF($A4&gt;MONTH(TODAY()),$C4,"")</f>
        <v/>
      </c>
      <c r="F4" s="7" t="str">
        <f t="shared" ref="F4:F15" ca="1" si="3">IF($A4&gt;MONTH(TODAY()),$D4,"")</f>
        <v/>
      </c>
    </row>
    <row r="5" spans="1:6" ht="18" customHeight="1" x14ac:dyDescent="0.2">
      <c r="A5" s="5">
        <v>2</v>
      </c>
      <c r="B5" s="6" t="s">
        <v>147</v>
      </c>
      <c r="C5" s="7">
        <f t="shared" si="0"/>
        <v>46080</v>
      </c>
      <c r="D5" s="7">
        <f t="shared" si="1"/>
        <v>46066</v>
      </c>
      <c r="E5" s="7">
        <f t="shared" ca="1" si="2"/>
        <v>46080</v>
      </c>
      <c r="F5" s="7">
        <f t="shared" ca="1" si="3"/>
        <v>46066</v>
      </c>
    </row>
    <row r="6" spans="1:6" ht="18" customHeight="1" x14ac:dyDescent="0.2">
      <c r="A6" s="5">
        <v>3</v>
      </c>
      <c r="B6" s="6" t="s">
        <v>148</v>
      </c>
      <c r="C6" s="7">
        <f t="shared" si="0"/>
        <v>46112</v>
      </c>
      <c r="D6" s="7">
        <f t="shared" si="1"/>
        <v>46094</v>
      </c>
      <c r="E6" s="7">
        <f t="shared" ca="1" si="2"/>
        <v>46112</v>
      </c>
      <c r="F6" s="7">
        <f t="shared" ca="1" si="3"/>
        <v>46094</v>
      </c>
    </row>
    <row r="7" spans="1:6" ht="18" customHeight="1" x14ac:dyDescent="0.2">
      <c r="A7" s="5">
        <v>4</v>
      </c>
      <c r="B7" s="6" t="s">
        <v>149</v>
      </c>
      <c r="C7" s="7">
        <f t="shared" si="0"/>
        <v>46142</v>
      </c>
      <c r="D7" s="7">
        <f t="shared" si="1"/>
        <v>46127</v>
      </c>
      <c r="E7" s="7">
        <f t="shared" ca="1" si="2"/>
        <v>46142</v>
      </c>
      <c r="F7" s="7">
        <f t="shared" ca="1" si="3"/>
        <v>46127</v>
      </c>
    </row>
    <row r="8" spans="1:6" ht="18" customHeight="1" x14ac:dyDescent="0.2">
      <c r="A8" s="5">
        <v>5</v>
      </c>
      <c r="B8" s="6" t="s">
        <v>150</v>
      </c>
      <c r="C8" s="7">
        <f t="shared" si="0"/>
        <v>46171</v>
      </c>
      <c r="D8" s="7">
        <f t="shared" si="1"/>
        <v>46157</v>
      </c>
      <c r="E8" s="7">
        <f t="shared" ca="1" si="2"/>
        <v>46171</v>
      </c>
      <c r="F8" s="7">
        <f t="shared" ca="1" si="3"/>
        <v>46157</v>
      </c>
    </row>
    <row r="9" spans="1:6" ht="18" customHeight="1" x14ac:dyDescent="0.2">
      <c r="A9" s="5">
        <v>6</v>
      </c>
      <c r="B9" s="6" t="s">
        <v>151</v>
      </c>
      <c r="C9" s="7">
        <f t="shared" si="0"/>
        <v>46203</v>
      </c>
      <c r="D9" s="7">
        <f t="shared" si="1"/>
        <v>46188</v>
      </c>
      <c r="E9" s="7">
        <f t="shared" ca="1" si="2"/>
        <v>46203</v>
      </c>
      <c r="F9" s="7">
        <f t="shared" ca="1" si="3"/>
        <v>46188</v>
      </c>
    </row>
    <row r="10" spans="1:6" ht="18" customHeight="1" x14ac:dyDescent="0.2">
      <c r="A10" s="5">
        <v>7</v>
      </c>
      <c r="B10" s="6" t="s">
        <v>152</v>
      </c>
      <c r="C10" s="7">
        <f t="shared" si="0"/>
        <v>46234</v>
      </c>
      <c r="D10" s="7">
        <f t="shared" si="1"/>
        <v>46218</v>
      </c>
      <c r="E10" s="7">
        <f t="shared" ca="1" si="2"/>
        <v>46234</v>
      </c>
      <c r="F10" s="7">
        <f t="shared" ca="1" si="3"/>
        <v>46218</v>
      </c>
    </row>
    <row r="11" spans="1:6" ht="18" customHeight="1" x14ac:dyDescent="0.2">
      <c r="A11" s="5">
        <v>8</v>
      </c>
      <c r="B11" s="6" t="s">
        <v>153</v>
      </c>
      <c r="C11" s="7">
        <f t="shared" si="0"/>
        <v>46265</v>
      </c>
      <c r="D11" s="7">
        <f t="shared" si="1"/>
        <v>46248</v>
      </c>
      <c r="E11" s="7">
        <f t="shared" ca="1" si="2"/>
        <v>46265</v>
      </c>
      <c r="F11" s="7">
        <f t="shared" ca="1" si="3"/>
        <v>46248</v>
      </c>
    </row>
    <row r="12" spans="1:6" ht="18" customHeight="1" x14ac:dyDescent="0.2">
      <c r="A12" s="5">
        <v>9</v>
      </c>
      <c r="B12" s="6" t="s">
        <v>154</v>
      </c>
      <c r="C12" s="7">
        <f t="shared" si="0"/>
        <v>46295</v>
      </c>
      <c r="D12" s="7">
        <f t="shared" si="1"/>
        <v>46280</v>
      </c>
      <c r="E12" s="7">
        <f t="shared" ca="1" si="2"/>
        <v>46295</v>
      </c>
      <c r="F12" s="7">
        <f t="shared" ca="1" si="3"/>
        <v>46280</v>
      </c>
    </row>
    <row r="13" spans="1:6" ht="18" customHeight="1" x14ac:dyDescent="0.2">
      <c r="A13" s="5">
        <v>10</v>
      </c>
      <c r="B13" s="6" t="s">
        <v>155</v>
      </c>
      <c r="C13" s="7">
        <f t="shared" si="0"/>
        <v>46325</v>
      </c>
      <c r="D13" s="7">
        <f t="shared" si="1"/>
        <v>46310</v>
      </c>
      <c r="E13" s="7">
        <f t="shared" ca="1" si="2"/>
        <v>46325</v>
      </c>
      <c r="F13" s="7">
        <f t="shared" ca="1" si="3"/>
        <v>46310</v>
      </c>
    </row>
    <row r="14" spans="1:6" ht="18" customHeight="1" x14ac:dyDescent="0.2">
      <c r="A14" s="5">
        <v>11</v>
      </c>
      <c r="B14" s="6" t="s">
        <v>156</v>
      </c>
      <c r="C14" s="7">
        <f t="shared" si="0"/>
        <v>46356</v>
      </c>
      <c r="D14" s="7">
        <f t="shared" si="1"/>
        <v>46339</v>
      </c>
      <c r="E14" s="7">
        <f t="shared" ca="1" si="2"/>
        <v>46356</v>
      </c>
      <c r="F14" s="7">
        <f t="shared" ca="1" si="3"/>
        <v>46339</v>
      </c>
    </row>
    <row r="15" spans="1:6" ht="18" customHeight="1" x14ac:dyDescent="0.2">
      <c r="A15" s="5">
        <v>12</v>
      </c>
      <c r="B15" s="6" t="s">
        <v>157</v>
      </c>
      <c r="C15" s="7">
        <f t="shared" si="0"/>
        <v>46387</v>
      </c>
      <c r="D15" s="7">
        <f t="shared" si="1"/>
        <v>46371</v>
      </c>
      <c r="E15" s="7">
        <f t="shared" ca="1" si="2"/>
        <v>46387</v>
      </c>
      <c r="F15" s="7">
        <f t="shared" ca="1" si="3"/>
        <v>46371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36" customWidth="1"/>
    <col min="4" max="4" width="34" customWidth="1"/>
    <col min="5" max="5" width="20" customWidth="1"/>
    <col min="6" max="6" width="30" customWidth="1"/>
    <col min="7" max="7" width="44" customWidth="1"/>
  </cols>
  <sheetData>
    <row r="1" spans="1:7" ht="16" x14ac:dyDescent="0.2">
      <c r="A1" s="4" t="s">
        <v>158</v>
      </c>
      <c r="B1" s="4" t="s">
        <v>14</v>
      </c>
      <c r="C1" s="4" t="s">
        <v>15</v>
      </c>
      <c r="D1" s="4" t="s">
        <v>159</v>
      </c>
      <c r="E1" s="4" t="s">
        <v>3</v>
      </c>
      <c r="F1" s="4" t="s">
        <v>160</v>
      </c>
      <c r="G1" s="4" t="s">
        <v>10</v>
      </c>
    </row>
    <row r="2" spans="1:7" x14ac:dyDescent="0.2">
      <c r="A2" t="s">
        <v>29</v>
      </c>
      <c r="B2" t="s">
        <v>68</v>
      </c>
      <c r="C2" t="s">
        <v>49</v>
      </c>
      <c r="D2" t="s">
        <v>138</v>
      </c>
      <c r="E2" t="s">
        <v>99</v>
      </c>
      <c r="F2" t="s">
        <v>28</v>
      </c>
      <c r="G2" t="s">
        <v>28</v>
      </c>
    </row>
    <row r="3" spans="1:7" x14ac:dyDescent="0.2">
      <c r="A3" t="s">
        <v>27</v>
      </c>
      <c r="B3" t="s">
        <v>161</v>
      </c>
      <c r="C3" t="s">
        <v>90</v>
      </c>
      <c r="D3" t="s">
        <v>137</v>
      </c>
      <c r="E3" t="s">
        <v>105</v>
      </c>
      <c r="F3" t="s">
        <v>99</v>
      </c>
      <c r="G3" t="s">
        <v>96</v>
      </c>
    </row>
    <row r="4" spans="1:7" x14ac:dyDescent="0.2">
      <c r="B4" t="s">
        <v>162</v>
      </c>
      <c r="D4" t="s">
        <v>110</v>
      </c>
    </row>
    <row r="5" spans="1:7" x14ac:dyDescent="0.2">
      <c r="B5" t="s">
        <v>163</v>
      </c>
      <c r="D5" t="s">
        <v>164</v>
      </c>
    </row>
    <row r="6" spans="1:7" x14ac:dyDescent="0.2">
      <c r="B6" t="s">
        <v>31</v>
      </c>
      <c r="D6" t="s">
        <v>165</v>
      </c>
    </row>
    <row r="7" spans="1:7" x14ac:dyDescent="0.2">
      <c r="B7" t="s">
        <v>49</v>
      </c>
      <c r="D7" t="s">
        <v>166</v>
      </c>
    </row>
    <row r="8" spans="1:7" x14ac:dyDescent="0.2">
      <c r="B8" t="s">
        <v>167</v>
      </c>
    </row>
    <row r="9" spans="1:7" x14ac:dyDescent="0.2">
      <c r="B9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Config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Vargas</cp:lastModifiedBy>
  <dcterms:created xsi:type="dcterms:W3CDTF">2026-01-16T01:11:10Z</dcterms:created>
  <dcterms:modified xsi:type="dcterms:W3CDTF">2026-01-21T14:50:59Z</dcterms:modified>
</cp:coreProperties>
</file>